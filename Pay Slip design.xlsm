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\Documents\"/>
    </mc:Choice>
  </mc:AlternateContent>
  <xr:revisionPtr revIDLastSave="0" documentId="13_ncr:1_{5AB147CF-EA48-422F-B2CE-47B4A714110E}" xr6:coauthVersionLast="36" xr6:coauthVersionMax="47" xr10:uidLastSave="{00000000-0000-0000-0000-000000000000}"/>
  <bookViews>
    <workbookView xWindow="0" yWindow="0" windowWidth="20490" windowHeight="7545" activeTab="1" xr2:uid="{E8A01963-B3A6-4B42-9972-2CF623E38030}"/>
  </bookViews>
  <sheets>
    <sheet name="Payslip" sheetId="5" r:id="rId1"/>
    <sheet name="data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 l="1"/>
  <c r="E15" i="5"/>
  <c r="C15" i="5"/>
  <c r="E14" i="5"/>
  <c r="E12" i="5"/>
  <c r="E11" i="5"/>
  <c r="C14" i="5"/>
  <c r="C13" i="5"/>
  <c r="C12" i="5"/>
  <c r="C11" i="5"/>
  <c r="C8" i="5"/>
  <c r="E7" i="5"/>
  <c r="H11" i="4" l="1"/>
  <c r="G11" i="4"/>
  <c r="F11" i="4"/>
  <c r="E11" i="4"/>
  <c r="K11" i="4" s="1"/>
  <c r="H10" i="4"/>
  <c r="G10" i="4"/>
  <c r="F10" i="4"/>
  <c r="E10" i="4"/>
  <c r="J10" i="4" s="1"/>
  <c r="H9" i="4"/>
  <c r="G9" i="4"/>
  <c r="F9" i="4"/>
  <c r="E9" i="4"/>
  <c r="K9" i="4" s="1"/>
  <c r="H8" i="4"/>
  <c r="G8" i="4"/>
  <c r="F8" i="4"/>
  <c r="E8" i="4"/>
  <c r="J8" i="4" s="1"/>
  <c r="H7" i="4"/>
  <c r="G7" i="4"/>
  <c r="F7" i="4"/>
  <c r="E7" i="4"/>
  <c r="K7" i="4" s="1"/>
  <c r="H6" i="4"/>
  <c r="G6" i="4"/>
  <c r="F6" i="4"/>
  <c r="E6" i="4"/>
  <c r="J6" i="4" s="1"/>
  <c r="H5" i="4"/>
  <c r="G5" i="4"/>
  <c r="F5" i="4"/>
  <c r="E5" i="4"/>
  <c r="K5" i="4" s="1"/>
  <c r="H4" i="4"/>
  <c r="G4" i="4"/>
  <c r="F4" i="4"/>
  <c r="E4" i="4"/>
  <c r="J4" i="4" s="1"/>
  <c r="H3" i="4"/>
  <c r="G3" i="4"/>
  <c r="F3" i="4"/>
  <c r="E3" i="4"/>
  <c r="K3" i="4" s="1"/>
  <c r="H2" i="4"/>
  <c r="G2" i="4"/>
  <c r="F2" i="4"/>
  <c r="E2" i="4"/>
  <c r="J2" i="4" s="1"/>
  <c r="N6" i="4" l="1"/>
  <c r="K4" i="4"/>
  <c r="N4" i="4" s="1"/>
  <c r="K8" i="4"/>
  <c r="N8" i="4" s="1"/>
  <c r="K10" i="4"/>
  <c r="N10" i="4" s="1"/>
  <c r="I3" i="4"/>
  <c r="I5" i="4"/>
  <c r="I7" i="4"/>
  <c r="I11" i="4"/>
  <c r="K2" i="4"/>
  <c r="N2" i="4" s="1"/>
  <c r="K6" i="4"/>
  <c r="I9" i="4"/>
  <c r="J3" i="4"/>
  <c r="N3" i="4" s="1"/>
  <c r="J5" i="4"/>
  <c r="N5" i="4" s="1"/>
  <c r="J7" i="4"/>
  <c r="N7" i="4" s="1"/>
  <c r="J9" i="4"/>
  <c r="N9" i="4" s="1"/>
  <c r="J11" i="4"/>
  <c r="N11" i="4" s="1"/>
  <c r="I2" i="4"/>
  <c r="I4" i="4"/>
  <c r="I6" i="4"/>
  <c r="I8" i="4"/>
  <c r="I10" i="4"/>
  <c r="O4" i="4" l="1"/>
  <c r="O5" i="4"/>
  <c r="O9" i="4"/>
  <c r="O2" i="4"/>
  <c r="O3" i="4"/>
  <c r="O10" i="4"/>
  <c r="O11" i="4"/>
  <c r="O8" i="4"/>
  <c r="O6" i="4"/>
  <c r="O7" i="4"/>
</calcChain>
</file>

<file path=xl/sharedStrings.xml><?xml version="1.0" encoding="utf-8"?>
<sst xmlns="http://schemas.openxmlformats.org/spreadsheetml/2006/main" count="61" uniqueCount="54">
  <si>
    <t>Monthly Pay Slip</t>
  </si>
  <si>
    <t>Designation</t>
  </si>
  <si>
    <t>Salary</t>
  </si>
  <si>
    <t>Basic Salary</t>
  </si>
  <si>
    <t>House Rent</t>
  </si>
  <si>
    <t>Medical Allowance</t>
  </si>
  <si>
    <t>Convenience</t>
  </si>
  <si>
    <t>Gross Pay</t>
  </si>
  <si>
    <t>PF</t>
  </si>
  <si>
    <t>Tax</t>
  </si>
  <si>
    <t>Loan</t>
  </si>
  <si>
    <t>Others</t>
  </si>
  <si>
    <t>Total Deduction</t>
  </si>
  <si>
    <t>Net Pay</t>
  </si>
  <si>
    <t>Emp ID</t>
  </si>
  <si>
    <t>Emp Name</t>
  </si>
  <si>
    <t>Emp Designation</t>
  </si>
  <si>
    <t>Tanisha Rahaman</t>
  </si>
  <si>
    <t>CEO</t>
  </si>
  <si>
    <t>Md. Mir Amir Sarker</t>
  </si>
  <si>
    <t>GM</t>
  </si>
  <si>
    <t>Md. Oliur Rahman</t>
  </si>
  <si>
    <t>DGM</t>
  </si>
  <si>
    <t>Md. Shafiqul Islam Khan</t>
  </si>
  <si>
    <t>AGM</t>
  </si>
  <si>
    <t>Elton Clement Mondol</t>
  </si>
  <si>
    <t>Manager</t>
  </si>
  <si>
    <t>Md. Firoz Hossain</t>
  </si>
  <si>
    <t>Asst. Manager</t>
  </si>
  <si>
    <t>Syed Kaamraan Manzoor</t>
  </si>
  <si>
    <t>Officer</t>
  </si>
  <si>
    <t>G.M Kamrul Hasan</t>
  </si>
  <si>
    <t>Md. Rana Ahmed</t>
  </si>
  <si>
    <t>Md. Robiul Islam</t>
  </si>
  <si>
    <t>292 Inusbag, College Road, Dokkhinkhan, Dhaka</t>
  </si>
  <si>
    <t>Dhaka Electric Supply Company ltd</t>
  </si>
  <si>
    <t>Emp ID:</t>
  </si>
  <si>
    <t>Name:</t>
  </si>
  <si>
    <t>Month/Year</t>
  </si>
  <si>
    <t xml:space="preserve">Income </t>
  </si>
  <si>
    <t>Decuction</t>
  </si>
  <si>
    <t>M/A</t>
  </si>
  <si>
    <t>D/A</t>
  </si>
  <si>
    <t>Totall earning</t>
  </si>
  <si>
    <t>Penalty</t>
  </si>
  <si>
    <t>Salary in Word:</t>
  </si>
  <si>
    <t>Salary paid by:</t>
  </si>
  <si>
    <t>Cash</t>
  </si>
  <si>
    <t>Bank</t>
  </si>
  <si>
    <t>Signature</t>
  </si>
  <si>
    <t>HRA</t>
  </si>
  <si>
    <t>Basic</t>
  </si>
  <si>
    <t xml:space="preserve">Net Salary: </t>
  </si>
  <si>
    <t xml:space="preserve">Account officer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</si>
</sst>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1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444444"/>
      <name val="Kalpurushregular"/>
    </font>
    <font>
      <sz val="14"/>
      <color theme="1"/>
      <name val="Arial"/>
      <family val="2"/>
    </font>
    <font>
      <sz val="8"/>
      <color rgb="FF000000"/>
      <name val="Segoe UI"/>
      <family val="2"/>
    </font>
    <font>
      <sz val="8"/>
      <color theme="1"/>
      <name val="Arial"/>
      <family val="2"/>
    </font>
    <font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Border="1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41" fontId="5" fillId="0" borderId="1" xfId="1" applyFont="1" applyBorder="1"/>
    <xf numFmtId="41" fontId="5" fillId="3" borderId="1" xfId="1" applyFont="1" applyFill="1" applyBorder="1"/>
    <xf numFmtId="0" fontId="5" fillId="0" borderId="0" xfId="0" applyFont="1"/>
    <xf numFmtId="1" fontId="5" fillId="0" borderId="0" xfId="0" applyNumberFormat="1" applyFont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0" fillId="0" borderId="12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3" borderId="8" xfId="0" applyFill="1" applyBorder="1"/>
    <xf numFmtId="0" fontId="0" fillId="3" borderId="0" xfId="0" applyFill="1" applyBorder="1"/>
    <xf numFmtId="0" fontId="0" fillId="3" borderId="9" xfId="0" applyFill="1" applyBorder="1"/>
    <xf numFmtId="16" fontId="0" fillId="0" borderId="11" xfId="0" applyNumberFormat="1" applyBorder="1" applyAlignment="1">
      <alignment horizontal="right"/>
    </xf>
    <xf numFmtId="43" fontId="0" fillId="0" borderId="1" xfId="2" applyFont="1" applyBorder="1"/>
    <xf numFmtId="0" fontId="0" fillId="0" borderId="17" xfId="0" applyBorder="1"/>
    <xf numFmtId="0" fontId="0" fillId="0" borderId="1" xfId="0" applyBorder="1" applyAlignment="1"/>
    <xf numFmtId="0" fontId="2" fillId="4" borderId="19" xfId="0" applyFont="1" applyFill="1" applyBorder="1"/>
    <xf numFmtId="43" fontId="2" fillId="4" borderId="3" xfId="0" applyNumberFormat="1" applyFont="1" applyFill="1" applyBorder="1"/>
    <xf numFmtId="0" fontId="2" fillId="4" borderId="3" xfId="0" applyFont="1" applyFill="1" applyBorder="1"/>
    <xf numFmtId="43" fontId="2" fillId="4" borderId="20" xfId="0" applyNumberFormat="1" applyFont="1" applyFill="1" applyBorder="1"/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43" fontId="0" fillId="0" borderId="4" xfId="0" applyNumberFormat="1" applyBorder="1" applyAlignment="1"/>
    <xf numFmtId="0" fontId="0" fillId="0" borderId="18" xfId="0" applyBorder="1" applyAlignment="1"/>
    <xf numFmtId="0" fontId="0" fillId="0" borderId="2" xfId="0" applyBorder="1" applyAlignment="1"/>
    <xf numFmtId="0" fontId="0" fillId="0" borderId="1" xfId="0" applyBorder="1" applyAlignment="1"/>
    <xf numFmtId="0" fontId="9" fillId="0" borderId="13" xfId="0" applyFont="1" applyBorder="1" applyAlignment="1">
      <alignment horizontal="center"/>
    </xf>
  </cellXfs>
  <cellStyles count="3">
    <cellStyle name="Comma" xfId="2" builtinId="3"/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1038225</xdr:colOff>
          <xdr:row>19</xdr:row>
          <xdr:rowOff>0</xdr:rowOff>
        </xdr:from>
        <xdr:to>
          <xdr:col>2</xdr:col>
          <xdr:colOff>581025</xdr:colOff>
          <xdr:row>19</xdr:row>
          <xdr:rowOff>161925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19</xdr:row>
          <xdr:rowOff>0</xdr:rowOff>
        </xdr:from>
        <xdr:to>
          <xdr:col>3</xdr:col>
          <xdr:colOff>600075</xdr:colOff>
          <xdr:row>19</xdr:row>
          <xdr:rowOff>161925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2B647-1286-4925-BFF1-52CB3B3903E0}">
  <sheetPr codeName="Sheet2"/>
  <dimension ref="A1:G25"/>
  <sheetViews>
    <sheetView topLeftCell="A7" workbookViewId="0">
      <selection activeCell="G18" sqref="G18"/>
    </sheetView>
  </sheetViews>
  <sheetFormatPr defaultRowHeight="14.25"/>
  <cols>
    <col min="1" max="1" width="3" customWidth="1"/>
    <col min="2" max="2" width="13.75" customWidth="1"/>
    <col min="3" max="3" width="15.125" customWidth="1"/>
    <col min="4" max="4" width="15" customWidth="1"/>
    <col min="5" max="5" width="23.25" customWidth="1"/>
    <col min="12" max="12" width="26.25" customWidth="1"/>
    <col min="13" max="13" width="14" customWidth="1"/>
  </cols>
  <sheetData>
    <row r="1" spans="1:5" ht="15" thickBot="1"/>
    <row r="2" spans="1:5" ht="20.25">
      <c r="B2" s="33" t="s">
        <v>35</v>
      </c>
      <c r="C2" s="34"/>
      <c r="D2" s="34"/>
      <c r="E2" s="35"/>
    </row>
    <row r="3" spans="1:5" ht="15">
      <c r="B3" s="36" t="s">
        <v>34</v>
      </c>
      <c r="C3" s="37"/>
      <c r="D3" s="37"/>
      <c r="E3" s="38"/>
    </row>
    <row r="4" spans="1:5" ht="18">
      <c r="B4" s="39" t="s">
        <v>0</v>
      </c>
      <c r="C4" s="40"/>
      <c r="D4" s="40"/>
      <c r="E4" s="41"/>
    </row>
    <row r="5" spans="1:5">
      <c r="B5" s="22"/>
      <c r="C5" s="23"/>
      <c r="D5" s="23"/>
      <c r="E5" s="24"/>
    </row>
    <row r="6" spans="1:5">
      <c r="B6" s="22"/>
      <c r="C6" s="23"/>
      <c r="D6" s="23"/>
      <c r="E6" s="24"/>
    </row>
    <row r="7" spans="1:5">
      <c r="B7" s="14" t="s">
        <v>36</v>
      </c>
      <c r="C7" s="21">
        <v>1001</v>
      </c>
      <c r="D7" s="11" t="s">
        <v>37</v>
      </c>
      <c r="E7" s="15" t="str">
        <f>VLOOKUP($C$7,data!$A$1:$O$11,2,0)</f>
        <v>Tanisha Rahaman</v>
      </c>
    </row>
    <row r="8" spans="1:5">
      <c r="B8" s="14" t="s">
        <v>1</v>
      </c>
      <c r="C8" s="15" t="str">
        <f>VLOOKUP($C$7,data!$A$1:$O$11,3,0)</f>
        <v>CEO</v>
      </c>
      <c r="D8" s="11" t="s">
        <v>38</v>
      </c>
      <c r="E8" s="25">
        <v>45069</v>
      </c>
    </row>
    <row r="9" spans="1:5">
      <c r="B9" s="12"/>
      <c r="C9" s="1"/>
      <c r="D9" s="1"/>
      <c r="E9" s="13"/>
    </row>
    <row r="10" spans="1:5" ht="15">
      <c r="B10" s="42" t="s">
        <v>39</v>
      </c>
      <c r="C10" s="43"/>
      <c r="D10" s="43" t="s">
        <v>40</v>
      </c>
      <c r="E10" s="44"/>
    </row>
    <row r="11" spans="1:5">
      <c r="B11" s="14" t="s">
        <v>51</v>
      </c>
      <c r="C11" s="26">
        <f>VLOOKUP($C$7,data!$A$1:$O$11,5,0)</f>
        <v>112500</v>
      </c>
      <c r="D11" s="11" t="s">
        <v>8</v>
      </c>
      <c r="E11" s="26">
        <f>VLOOKUP($C$7,data!$A$1:$O$11,10,0)</f>
        <v>5625</v>
      </c>
    </row>
    <row r="12" spans="1:5">
      <c r="B12" s="14" t="s">
        <v>50</v>
      </c>
      <c r="C12" s="26">
        <f>VLOOKUP($C$7,data!$A$1:$O$11,6,0)</f>
        <v>15000</v>
      </c>
      <c r="D12" s="11" t="s">
        <v>10</v>
      </c>
      <c r="E12" s="26">
        <f>VLOOKUP($C$7,data!$A$1:$O$11,12,0)</f>
        <v>5000</v>
      </c>
    </row>
    <row r="13" spans="1:5">
      <c r="B13" s="14" t="s">
        <v>41</v>
      </c>
      <c r="C13" s="26">
        <f>VLOOKUP($C$7,data!$A$1:$O$11,7,0)</f>
        <v>22500</v>
      </c>
      <c r="D13" s="11" t="s">
        <v>44</v>
      </c>
      <c r="E13" s="26"/>
    </row>
    <row r="14" spans="1:5">
      <c r="B14" s="14" t="s">
        <v>42</v>
      </c>
      <c r="C14" s="26">
        <f>VLOOKUP($C$7,data!$A$1:$O$11,8,0)</f>
        <v>30000</v>
      </c>
      <c r="D14" s="11" t="s">
        <v>9</v>
      </c>
      <c r="E14" s="26">
        <f>VLOOKUP($C$7,data!$A$1:$O$11,11,0)</f>
        <v>2250</v>
      </c>
    </row>
    <row r="15" spans="1:5" ht="15">
      <c r="B15" s="29" t="s">
        <v>43</v>
      </c>
      <c r="C15" s="30">
        <f>SUM($C$11:$C$14)</f>
        <v>180000</v>
      </c>
      <c r="D15" s="31" t="s">
        <v>12</v>
      </c>
      <c r="E15" s="32">
        <f>SUM(E11:E14)</f>
        <v>12875</v>
      </c>
    </row>
    <row r="16" spans="1:5">
      <c r="A16" s="1"/>
      <c r="B16" s="1"/>
      <c r="C16" s="1"/>
      <c r="D16" s="1"/>
      <c r="E16" s="1"/>
    </row>
    <row r="17" spans="2:7">
      <c r="B17" s="28" t="s">
        <v>52</v>
      </c>
      <c r="C17" s="45">
        <f>$C$15-$E$15</f>
        <v>167125</v>
      </c>
      <c r="D17" s="46"/>
      <c r="E17" s="47"/>
    </row>
    <row r="18" spans="2:7">
      <c r="B18" s="28" t="s">
        <v>45</v>
      </c>
      <c r="C18" s="48" t="str">
        <f>SpellNumber($C$17)</f>
        <v>one hundred sixty-seven thousand one hundred twenty-five</v>
      </c>
      <c r="D18" s="48"/>
      <c r="E18" s="48"/>
      <c r="G18" s="27"/>
    </row>
    <row r="19" spans="2:7">
      <c r="B19" s="12"/>
      <c r="C19" s="1"/>
      <c r="D19" s="1"/>
      <c r="E19" s="13"/>
    </row>
    <row r="20" spans="2:7">
      <c r="B20" s="12" t="s">
        <v>46</v>
      </c>
      <c r="C20" s="16" t="s">
        <v>47</v>
      </c>
      <c r="D20" s="16" t="s">
        <v>48</v>
      </c>
      <c r="E20" s="13"/>
    </row>
    <row r="21" spans="2:7">
      <c r="B21" s="12"/>
      <c r="C21" s="1"/>
      <c r="D21" s="1"/>
      <c r="E21" s="13"/>
    </row>
    <row r="22" spans="2:7">
      <c r="B22" s="12"/>
      <c r="C22" s="1"/>
      <c r="D22" s="1"/>
      <c r="E22" s="13"/>
    </row>
    <row r="23" spans="2:7">
      <c r="B23" s="12"/>
      <c r="C23" s="1"/>
      <c r="D23" s="1"/>
      <c r="E23" s="13"/>
    </row>
    <row r="24" spans="2:7">
      <c r="B24" s="20" t="s">
        <v>49</v>
      </c>
      <c r="C24" s="1"/>
      <c r="D24" s="1"/>
      <c r="E24" s="49" t="s">
        <v>53</v>
      </c>
    </row>
    <row r="25" spans="2:7" ht="27.75" customHeight="1" thickBot="1">
      <c r="B25" s="17"/>
      <c r="C25" s="18"/>
      <c r="D25" s="18"/>
      <c r="E25" s="19"/>
    </row>
  </sheetData>
  <mergeCells count="7">
    <mergeCell ref="C17:E17"/>
    <mergeCell ref="C18:E18"/>
    <mergeCell ref="B2:E2"/>
    <mergeCell ref="B3:E3"/>
    <mergeCell ref="B4:E4"/>
    <mergeCell ref="B10:C10"/>
    <mergeCell ref="D10:E10"/>
  </mergeCells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</xdr:col>
                    <xdr:colOff>1038225</xdr:colOff>
                    <xdr:row>19</xdr:row>
                    <xdr:rowOff>0</xdr:rowOff>
                  </from>
                  <to>
                    <xdr:col>2</xdr:col>
                    <xdr:colOff>581025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3</xdr:col>
                    <xdr:colOff>9525</xdr:colOff>
                    <xdr:row>19</xdr:row>
                    <xdr:rowOff>0</xdr:rowOff>
                  </from>
                  <to>
                    <xdr:col>3</xdr:col>
                    <xdr:colOff>600075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987A9A-DA3E-4F41-8401-61125669A5F4}">
          <x14:formula1>
            <xm:f>data!$A$2:$A$11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C472A-CFE1-40E8-9A7D-68C0BC598DE9}">
  <sheetPr codeName="Sheet3"/>
  <dimension ref="A1:O13"/>
  <sheetViews>
    <sheetView tabSelected="1" workbookViewId="0">
      <selection activeCell="E18" sqref="E18"/>
    </sheetView>
  </sheetViews>
  <sheetFormatPr defaultRowHeight="15.75"/>
  <cols>
    <col min="1" max="1" width="6.875" style="9" customWidth="1"/>
    <col min="2" max="2" width="21" style="9" bestFit="1" customWidth="1"/>
    <col min="3" max="3" width="12.625" style="9" bestFit="1" customWidth="1"/>
    <col min="4" max="4" width="9.125" style="9" bestFit="1" customWidth="1"/>
    <col min="5" max="5" width="10.875" style="9" bestFit="1" customWidth="1"/>
    <col min="6" max="6" width="10.625" style="9" bestFit="1" customWidth="1"/>
    <col min="7" max="7" width="9.75" style="9" bestFit="1" customWidth="1"/>
    <col min="8" max="8" width="11.75" style="9" bestFit="1" customWidth="1"/>
    <col min="9" max="9" width="9.125" style="9" bestFit="1" customWidth="1"/>
    <col min="10" max="13" width="6.625" style="9" bestFit="1" customWidth="1"/>
    <col min="14" max="14" width="9.75" style="9" bestFit="1" customWidth="1"/>
    <col min="15" max="15" width="9.125" style="9" bestFit="1" customWidth="1"/>
    <col min="16" max="16384" width="9" style="9"/>
  </cols>
  <sheetData>
    <row r="1" spans="1:15" s="4" customFormat="1" ht="31.5">
      <c r="A1" s="2" t="s">
        <v>14</v>
      </c>
      <c r="B1" s="2" t="s">
        <v>15</v>
      </c>
      <c r="C1" s="3" t="s">
        <v>16</v>
      </c>
      <c r="D1" s="2" t="s">
        <v>2</v>
      </c>
      <c r="E1" s="2" t="s">
        <v>3</v>
      </c>
      <c r="F1" s="2" t="s">
        <v>4</v>
      </c>
      <c r="G1" s="3" t="s">
        <v>5</v>
      </c>
      <c r="H1" s="2" t="s">
        <v>6</v>
      </c>
      <c r="I1" s="3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3" t="s">
        <v>12</v>
      </c>
      <c r="O1" s="2" t="s">
        <v>13</v>
      </c>
    </row>
    <row r="2" spans="1:15">
      <c r="A2" s="5">
        <v>1001</v>
      </c>
      <c r="B2" s="6" t="s">
        <v>17</v>
      </c>
      <c r="C2" s="6" t="s">
        <v>18</v>
      </c>
      <c r="D2" s="7">
        <v>150000</v>
      </c>
      <c r="E2" s="7">
        <f>D2*75%</f>
        <v>112500</v>
      </c>
      <c r="F2" s="7">
        <f>D2*10%</f>
        <v>15000</v>
      </c>
      <c r="G2" s="7">
        <f>D2*15%</f>
        <v>22500</v>
      </c>
      <c r="H2" s="7">
        <f>D2*20%</f>
        <v>30000</v>
      </c>
      <c r="I2" s="8">
        <f>SUM(E2:H2)</f>
        <v>180000</v>
      </c>
      <c r="J2" s="7">
        <f>E2*5%</f>
        <v>5625</v>
      </c>
      <c r="K2" s="7">
        <f>E2*2%</f>
        <v>2250</v>
      </c>
      <c r="L2" s="7">
        <v>5000</v>
      </c>
      <c r="M2" s="7">
        <v>7000</v>
      </c>
      <c r="N2" s="8">
        <f>SUM(J2:M2)</f>
        <v>19875</v>
      </c>
      <c r="O2" s="7">
        <f>I2-N2</f>
        <v>160125</v>
      </c>
    </row>
    <row r="3" spans="1:15">
      <c r="A3" s="5">
        <v>1002</v>
      </c>
      <c r="B3" s="6" t="s">
        <v>19</v>
      </c>
      <c r="C3" s="6" t="s">
        <v>20</v>
      </c>
      <c r="D3" s="7">
        <v>125000</v>
      </c>
      <c r="E3" s="7">
        <f t="shared" ref="E3:E11" si="0">D3*75%</f>
        <v>93750</v>
      </c>
      <c r="F3" s="7">
        <f t="shared" ref="F3:F11" si="1">D3*10%</f>
        <v>12500</v>
      </c>
      <c r="G3" s="7">
        <f t="shared" ref="G3:G11" si="2">D3*15%</f>
        <v>18750</v>
      </c>
      <c r="H3" s="7">
        <f t="shared" ref="H3:H11" si="3">D3*20%</f>
        <v>25000</v>
      </c>
      <c r="I3" s="8">
        <f t="shared" ref="I3:I11" si="4">SUM(E3:H3)</f>
        <v>150000</v>
      </c>
      <c r="J3" s="7">
        <f t="shared" ref="J3:J11" si="5">E3*5%</f>
        <v>4687.5</v>
      </c>
      <c r="K3" s="7">
        <f t="shared" ref="K3:K11" si="6">E3*2%</f>
        <v>1875</v>
      </c>
      <c r="L3" s="7">
        <v>5000</v>
      </c>
      <c r="M3" s="7">
        <v>7000</v>
      </c>
      <c r="N3" s="8">
        <f t="shared" ref="N3:N11" si="7">SUM(J3:M3)</f>
        <v>18562.5</v>
      </c>
      <c r="O3" s="7">
        <f t="shared" ref="O3:O11" si="8">I3-N3</f>
        <v>131437.5</v>
      </c>
    </row>
    <row r="4" spans="1:15">
      <c r="A4" s="5">
        <v>1003</v>
      </c>
      <c r="B4" s="6" t="s">
        <v>21</v>
      </c>
      <c r="C4" s="6" t="s">
        <v>22</v>
      </c>
      <c r="D4" s="7">
        <v>100000</v>
      </c>
      <c r="E4" s="7">
        <f t="shared" si="0"/>
        <v>75000</v>
      </c>
      <c r="F4" s="7">
        <f t="shared" si="1"/>
        <v>10000</v>
      </c>
      <c r="G4" s="7">
        <f t="shared" si="2"/>
        <v>15000</v>
      </c>
      <c r="H4" s="7">
        <f t="shared" si="3"/>
        <v>20000</v>
      </c>
      <c r="I4" s="8">
        <f t="shared" si="4"/>
        <v>120000</v>
      </c>
      <c r="J4" s="7">
        <f t="shared" si="5"/>
        <v>3750</v>
      </c>
      <c r="K4" s="7">
        <f t="shared" si="6"/>
        <v>1500</v>
      </c>
      <c r="L4" s="7">
        <v>5000</v>
      </c>
      <c r="M4" s="7">
        <v>7000</v>
      </c>
      <c r="N4" s="8">
        <f t="shared" si="7"/>
        <v>17250</v>
      </c>
      <c r="O4" s="7">
        <f t="shared" si="8"/>
        <v>102750</v>
      </c>
    </row>
    <row r="5" spans="1:15">
      <c r="A5" s="5">
        <v>1004</v>
      </c>
      <c r="B5" s="6" t="s">
        <v>23</v>
      </c>
      <c r="C5" s="6" t="s">
        <v>24</v>
      </c>
      <c r="D5" s="7">
        <v>80000</v>
      </c>
      <c r="E5" s="7">
        <f t="shared" si="0"/>
        <v>60000</v>
      </c>
      <c r="F5" s="7">
        <f t="shared" si="1"/>
        <v>8000</v>
      </c>
      <c r="G5" s="7">
        <f t="shared" si="2"/>
        <v>12000</v>
      </c>
      <c r="H5" s="7">
        <f t="shared" si="3"/>
        <v>16000</v>
      </c>
      <c r="I5" s="8">
        <f t="shared" si="4"/>
        <v>96000</v>
      </c>
      <c r="J5" s="7">
        <f t="shared" si="5"/>
        <v>3000</v>
      </c>
      <c r="K5" s="7">
        <f t="shared" si="6"/>
        <v>1200</v>
      </c>
      <c r="L5" s="7">
        <v>5000</v>
      </c>
      <c r="M5" s="7">
        <v>7000</v>
      </c>
      <c r="N5" s="8">
        <f t="shared" si="7"/>
        <v>16200</v>
      </c>
      <c r="O5" s="7">
        <f t="shared" si="8"/>
        <v>79800</v>
      </c>
    </row>
    <row r="6" spans="1:15">
      <c r="A6" s="5">
        <v>1005</v>
      </c>
      <c r="B6" s="6" t="s">
        <v>25</v>
      </c>
      <c r="C6" s="6" t="s">
        <v>26</v>
      </c>
      <c r="D6" s="7">
        <v>60000</v>
      </c>
      <c r="E6" s="7">
        <f t="shared" si="0"/>
        <v>45000</v>
      </c>
      <c r="F6" s="7">
        <f t="shared" si="1"/>
        <v>6000</v>
      </c>
      <c r="G6" s="7">
        <f t="shared" si="2"/>
        <v>9000</v>
      </c>
      <c r="H6" s="7">
        <f t="shared" si="3"/>
        <v>12000</v>
      </c>
      <c r="I6" s="8">
        <f t="shared" si="4"/>
        <v>72000</v>
      </c>
      <c r="J6" s="7">
        <f t="shared" si="5"/>
        <v>2250</v>
      </c>
      <c r="K6" s="7">
        <f t="shared" si="6"/>
        <v>900</v>
      </c>
      <c r="L6" s="7">
        <v>5000</v>
      </c>
      <c r="M6" s="7">
        <v>7000</v>
      </c>
      <c r="N6" s="8">
        <f t="shared" si="7"/>
        <v>15150</v>
      </c>
      <c r="O6" s="7">
        <f t="shared" si="8"/>
        <v>56850</v>
      </c>
    </row>
    <row r="7" spans="1:15">
      <c r="A7" s="5">
        <v>1006</v>
      </c>
      <c r="B7" s="6" t="s">
        <v>27</v>
      </c>
      <c r="C7" s="6" t="s">
        <v>28</v>
      </c>
      <c r="D7" s="7">
        <v>50000</v>
      </c>
      <c r="E7" s="7">
        <f t="shared" si="0"/>
        <v>37500</v>
      </c>
      <c r="F7" s="7">
        <f t="shared" si="1"/>
        <v>5000</v>
      </c>
      <c r="G7" s="7">
        <f t="shared" si="2"/>
        <v>7500</v>
      </c>
      <c r="H7" s="7">
        <f t="shared" si="3"/>
        <v>10000</v>
      </c>
      <c r="I7" s="8">
        <f t="shared" si="4"/>
        <v>60000</v>
      </c>
      <c r="J7" s="7">
        <f t="shared" si="5"/>
        <v>1875</v>
      </c>
      <c r="K7" s="7">
        <f t="shared" si="6"/>
        <v>750</v>
      </c>
      <c r="L7" s="7">
        <v>5000</v>
      </c>
      <c r="M7" s="7">
        <v>7000</v>
      </c>
      <c r="N7" s="8">
        <f t="shared" si="7"/>
        <v>14625</v>
      </c>
      <c r="O7" s="7">
        <f t="shared" si="8"/>
        <v>45375</v>
      </c>
    </row>
    <row r="8" spans="1:15">
      <c r="A8" s="5">
        <v>1007</v>
      </c>
      <c r="B8" s="6" t="s">
        <v>29</v>
      </c>
      <c r="C8" s="6" t="s">
        <v>30</v>
      </c>
      <c r="D8" s="7">
        <v>40000</v>
      </c>
      <c r="E8" s="7">
        <f t="shared" si="0"/>
        <v>30000</v>
      </c>
      <c r="F8" s="7">
        <f t="shared" si="1"/>
        <v>4000</v>
      </c>
      <c r="G8" s="7">
        <f t="shared" si="2"/>
        <v>6000</v>
      </c>
      <c r="H8" s="7">
        <f t="shared" si="3"/>
        <v>8000</v>
      </c>
      <c r="I8" s="8">
        <f t="shared" si="4"/>
        <v>48000</v>
      </c>
      <c r="J8" s="7">
        <f t="shared" si="5"/>
        <v>1500</v>
      </c>
      <c r="K8" s="7">
        <f t="shared" si="6"/>
        <v>600</v>
      </c>
      <c r="L8" s="7">
        <v>5000</v>
      </c>
      <c r="M8" s="7">
        <v>7000</v>
      </c>
      <c r="N8" s="8">
        <f t="shared" si="7"/>
        <v>14100</v>
      </c>
      <c r="O8" s="7">
        <f t="shared" si="8"/>
        <v>33900</v>
      </c>
    </row>
    <row r="9" spans="1:15">
      <c r="A9" s="5">
        <v>1008</v>
      </c>
      <c r="B9" s="6" t="s">
        <v>31</v>
      </c>
      <c r="C9" s="6" t="s">
        <v>30</v>
      </c>
      <c r="D9" s="7">
        <v>40000</v>
      </c>
      <c r="E9" s="7">
        <f t="shared" si="0"/>
        <v>30000</v>
      </c>
      <c r="F9" s="7">
        <f t="shared" si="1"/>
        <v>4000</v>
      </c>
      <c r="G9" s="7">
        <f t="shared" si="2"/>
        <v>6000</v>
      </c>
      <c r="H9" s="7">
        <f t="shared" si="3"/>
        <v>8000</v>
      </c>
      <c r="I9" s="8">
        <f t="shared" si="4"/>
        <v>48000</v>
      </c>
      <c r="J9" s="7">
        <f t="shared" si="5"/>
        <v>1500</v>
      </c>
      <c r="K9" s="7">
        <f t="shared" si="6"/>
        <v>600</v>
      </c>
      <c r="L9" s="7">
        <v>5000</v>
      </c>
      <c r="M9" s="7">
        <v>7000</v>
      </c>
      <c r="N9" s="8">
        <f t="shared" si="7"/>
        <v>14100</v>
      </c>
      <c r="O9" s="7">
        <f t="shared" si="8"/>
        <v>33900</v>
      </c>
    </row>
    <row r="10" spans="1:15">
      <c r="A10" s="5">
        <v>1009</v>
      </c>
      <c r="B10" s="6" t="s">
        <v>32</v>
      </c>
      <c r="C10" s="6" t="s">
        <v>30</v>
      </c>
      <c r="D10" s="7">
        <v>35000</v>
      </c>
      <c r="E10" s="7">
        <f t="shared" si="0"/>
        <v>26250</v>
      </c>
      <c r="F10" s="7">
        <f t="shared" si="1"/>
        <v>3500</v>
      </c>
      <c r="G10" s="7">
        <f t="shared" si="2"/>
        <v>5250</v>
      </c>
      <c r="H10" s="7">
        <f t="shared" si="3"/>
        <v>7000</v>
      </c>
      <c r="I10" s="8">
        <f t="shared" si="4"/>
        <v>42000</v>
      </c>
      <c r="J10" s="7">
        <f t="shared" si="5"/>
        <v>1312.5</v>
      </c>
      <c r="K10" s="7">
        <f t="shared" si="6"/>
        <v>525</v>
      </c>
      <c r="L10" s="7">
        <v>5000</v>
      </c>
      <c r="M10" s="7">
        <v>7000</v>
      </c>
      <c r="N10" s="8">
        <f t="shared" si="7"/>
        <v>13837.5</v>
      </c>
      <c r="O10" s="7">
        <f t="shared" si="8"/>
        <v>28162.5</v>
      </c>
    </row>
    <row r="11" spans="1:15">
      <c r="A11" s="5">
        <v>1010</v>
      </c>
      <c r="B11" s="6" t="s">
        <v>33</v>
      </c>
      <c r="C11" s="6" t="s">
        <v>30</v>
      </c>
      <c r="D11" s="7">
        <v>35000</v>
      </c>
      <c r="E11" s="7">
        <f t="shared" si="0"/>
        <v>26250</v>
      </c>
      <c r="F11" s="7">
        <f t="shared" si="1"/>
        <v>3500</v>
      </c>
      <c r="G11" s="7">
        <f t="shared" si="2"/>
        <v>5250</v>
      </c>
      <c r="H11" s="7">
        <f t="shared" si="3"/>
        <v>7000</v>
      </c>
      <c r="I11" s="8">
        <f t="shared" si="4"/>
        <v>42000</v>
      </c>
      <c r="J11" s="7">
        <f t="shared" si="5"/>
        <v>1312.5</v>
      </c>
      <c r="K11" s="7">
        <f t="shared" si="6"/>
        <v>525</v>
      </c>
      <c r="L11" s="7">
        <v>5000</v>
      </c>
      <c r="M11" s="7">
        <v>7000</v>
      </c>
      <c r="N11" s="8">
        <f t="shared" si="7"/>
        <v>13837.5</v>
      </c>
      <c r="O11" s="7">
        <f t="shared" si="8"/>
        <v>28162.5</v>
      </c>
    </row>
    <row r="12" spans="1:15">
      <c r="J12" s="10"/>
      <c r="O12" s="10"/>
    </row>
    <row r="13" spans="1:15">
      <c r="O1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Payslip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Tanvir Academy</dc:creator>
  <cp:lastModifiedBy>use</cp:lastModifiedBy>
  <cp:lastPrinted>2023-11-25T13:05:41Z</cp:lastPrinted>
  <dcterms:created xsi:type="dcterms:W3CDTF">2022-01-25T14:28:34Z</dcterms:created>
  <dcterms:modified xsi:type="dcterms:W3CDTF">2023-11-25T13:25:12Z</dcterms:modified>
</cp:coreProperties>
</file>